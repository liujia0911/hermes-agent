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/>
  </bookViews>
  <sheets>
    <sheet name="垫资结算汇总" sheetId="1" r:id="rId1"/>
    <sheet name="计算规则" sheetId="2" r:id="rId2"/>
    <sheet name="三店对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<sst xmlns="http://schemas.openxmlformats.org/spreadsheetml/2006/main" count="67" uniqueCount="40">
  <si>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斌立科技 - 玩具垫资项目 * 4-5月经营汇总</t>
  </si>
  <si>
    <t>日期</t>
  </si>
  <si>
    <t>成交</t>
  </si>
  <si>
    <t>退款金额(已关闭)</t>
  </si>
  <si>
    <t>实际成交</t>
  </si>
  <si>
    <t>90%应付</t>
  </si>
  <si>
    <t>实际垫付90%</t>
  </si>
  <si>
    <t>尾款10%</t>
  </si>
  <si>
    <t>服务费5%</t>
  </si>
  <si>
    <t>平台技术费</t>
  </si>
  <si>
    <t>动账支出</t>
  </si>
  <si>
    <t>垫付差额</t>
  </si>
  <si>
    <t>税点2%</t>
  </si>
  <si>
    <t>剩余尾款</t>
  </si>
  <si>
    <t>店6</t>
  </si>
  <si>
    <t>店7</t>
  </si>
  <si>
    <t>店8</t>
  </si>
  <si>
    <t>2026-04 汇总</t>
  </si>
  <si>
    <t>2026-05 汇总</t>
  </si>
  <si>
    <t>合 计</t>
  </si>
  <si>
    <t>计算规则</t>
  </si>
  <si>
    <t>数据来源</t>
  </si>
  <si>
    <t>成交额</t>
  </si>
  <si>
    <t/>
  </si>
  <si>
    <t>计算公式</t>
  </si>
  <si>
    <t>最终公式</t>
  </si>
  <si>
    <t>项目</t>
  </si>
  <si>
    <t>店铺6</t>
  </si>
  <si>
    <t>店铺7</t>
  </si>
  <si>
    <t>店铺8</t>
  </si>
  <si>
    <t>三店合计</t>
  </si>
  <si>
    <t>订单数</t>
  </si>
  <si>
    <t>60 (有效41)</t>
  </si>
  <si>
    <t>3,724 (有效2,937)</t>
  </si>
  <si>
    <t>8,195 (有效6,020)</t>
  </si>
  <si>
    <t>11,979</t>
  </si>
  <si>
    <t>总成交额</t>
  </si>
  <si>
    <t>已关闭订单</t>
  </si>
  <si>
    <t>实际成交额</t>
  </si>
  <si>
    <t>垫付差额(应付未付)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</si>
</sst>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0"/>
      <color rgb="FFCF1322"/>
      <name val="Microsoft YaHei"/>
      <charset val="134"/>
    </font>
    <font>
      <b/>
      <sz val="12"/>
      <color rgb="FF1677FF"/>
      <name val="Microsoft YaHei"/>
      <charset val="134"/>
    </font>
    <font>
      <b/>
      <sz val="16"/>
      <color rgb="FF1A1A1A"/>
      <name val="Microsoft YaHei"/>
      <charset val="134"/>
    </font>
    <font>
      <sz val="9"/>
      <color rgb="FFCCCCCC"/>
      <name val="Microsoft YaHei"/>
      <charset val="134"/>
    </font>
    <font>
      <b/>
      <sz val="10"/>
      <color rgb="FF1677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C3C3C"/>
        <bgColor rgb="FF3C3C3C"/>
      </patternFill>
    </fill>
    <fill>
      <patternFill patternType="solid">
        <fgColor rgb="FF4A4A4A"/>
        <bgColor rgb="FF4A4A4A"/>
      </patternFill>
    </fill>
    <fill>
      <patternFill patternType="solid">
        <fgColor rgb="FFFAFBFC"/>
        <bgColor rgb="FFFAFBFC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4" fontId="8" fillId="5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workbookViewId="0">
      <selection activeCell="E13" sqref="E13"/>
    </sheetView>
  </sheetViews>
  <sheetFormatPr defaultColWidth="9" defaultRowHeight="13.5" outlineLevelRow="6"/>
  <cols>
    <col min="1" max="1" width="15" customWidth="1"/>
    <col min="2" max="20" width="13" customWidth="1"/>
  </cols>
  <sheetData>
    <row r="1" ht="32" customHeight="1" spans="1:19">
      <c r="A1" s="9" t="s">
        <v>0</v>
      </c>
    </row>
    <row r="3" ht="28" customHeight="1" spans="1:19">
      <c r="A3" s="1" t="s">
        <v>1</v>
      </c>
      <c r="B3" s="1" t="s">
        <v>2</v>
      </c>
      <c r="E3" s="1" t="s">
        <v>3</v>
      </c>
      <c r="H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</row>
    <row r="4" ht="20" customHeight="1" spans="1:19">
      <c r="A4" s="10"/>
      <c r="B4" s="11" t="s">
        <v>14</v>
      </c>
      <c r="C4" s="11" t="s">
        <v>15</v>
      </c>
      <c r="D4" s="11" t="s">
        <v>16</v>
      </c>
      <c r="E4" s="11" t="s">
        <v>14</v>
      </c>
      <c r="F4" s="11" t="s">
        <v>15</v>
      </c>
      <c r="G4" s="11" t="s">
        <v>16</v>
      </c>
      <c r="H4" s="11" t="s">
        <v>14</v>
      </c>
      <c r="I4" s="11" t="s">
        <v>15</v>
      </c>
      <c r="J4" s="11" t="s">
        <v>16</v>
      </c>
      <c r="K4" s="10"/>
      <c r="L4" s="10"/>
      <c r="M4" s="10"/>
      <c r="N4" s="10"/>
      <c r="O4" s="10"/>
      <c r="P4" s="10"/>
      <c r="Q4" s="10"/>
      <c r="R4" s="10"/>
      <c r="S4" s="10"/>
    </row>
    <row r="5" ht="16.5" spans="1:19">
      <c r="A5" s="12" t="s">
        <v>17</v>
      </c>
      <c r="B5" s="13">
        <v>604.57</v>
      </c>
      <c r="C5" s="13">
        <v>43601.77</v>
      </c>
      <c r="D5" s="13">
        <v>20725.61</v>
      </c>
      <c r="E5" s="13">
        <v>141.15</v>
      </c>
      <c r="F5" s="13">
        <v>694.75</v>
      </c>
      <c r="G5" s="13">
        <v>20.23</v>
      </c>
      <c r="H5" s="13">
        <v>447.69</v>
      </c>
      <c r="I5" s="13">
        <v>33582.78</v>
      </c>
      <c r="J5" s="13">
        <v>15868.94</v>
      </c>
      <c r="K5" s="14">
        <v>44909.47</v>
      </c>
      <c r="L5" s="13"/>
      <c r="M5" s="13">
        <v>4989.94</v>
      </c>
      <c r="N5" s="14">
        <v>2494.97</v>
      </c>
      <c r="O5" s="13">
        <v>4177.33</v>
      </c>
      <c r="P5" s="13">
        <v>856.13</v>
      </c>
      <c r="Q5" s="13">
        <v>44053.34</v>
      </c>
      <c r="R5" s="13">
        <v>997.99</v>
      </c>
      <c r="S5" s="15">
        <v>-3536.48</v>
      </c>
    </row>
    <row r="6" ht="16.5" spans="1:19">
      <c r="A6" s="2" t="s">
        <v>18</v>
      </c>
      <c r="B6" s="4">
        <v>286.79</v>
      </c>
      <c r="C6" s="4">
        <v>11039</v>
      </c>
      <c r="D6" s="4">
        <v>88744.18</v>
      </c>
      <c r="E6" s="4">
        <v>12.45</v>
      </c>
      <c r="F6" s="4">
        <v>366.7</v>
      </c>
      <c r="G6" s="4">
        <v>899.49</v>
      </c>
      <c r="H6" s="4">
        <v>168.86</v>
      </c>
      <c r="I6" s="4">
        <v>8469.87</v>
      </c>
      <c r="J6" s="4">
        <v>63948.67</v>
      </c>
      <c r="K6" s="16">
        <v>65328.66</v>
      </c>
      <c r="L6" s="4"/>
      <c r="M6" s="4">
        <v>7258.74</v>
      </c>
      <c r="N6" s="16">
        <v>3629.37</v>
      </c>
      <c r="O6" s="4">
        <v>5885.97</v>
      </c>
      <c r="P6" s="4">
        <v>1278.64</v>
      </c>
      <c r="Q6" s="4">
        <v>64050.02</v>
      </c>
      <c r="R6" s="4">
        <v>1451.75</v>
      </c>
      <c r="S6" s="6">
        <v>-4986.99</v>
      </c>
    </row>
    <row r="7" ht="16.5" spans="1:19">
      <c r="A7" s="17" t="s">
        <v>19</v>
      </c>
      <c r="B7" s="18">
        <v>891.36</v>
      </c>
      <c r="C7" s="18">
        <v>54640.77</v>
      </c>
      <c r="D7" s="18">
        <v>109469.79</v>
      </c>
      <c r="E7" s="18">
        <v>153.6</v>
      </c>
      <c r="F7" s="18">
        <v>1061.45</v>
      </c>
      <c r="G7" s="18">
        <v>919.72</v>
      </c>
      <c r="H7" s="18">
        <v>616.55</v>
      </c>
      <c r="I7" s="18">
        <v>42052.65</v>
      </c>
      <c r="J7" s="18">
        <v>79817.61</v>
      </c>
      <c r="K7" s="19">
        <v>110238.13</v>
      </c>
      <c r="L7" s="18">
        <v>100405.8</v>
      </c>
      <c r="M7" s="18">
        <v>12248.68</v>
      </c>
      <c r="N7" s="19">
        <v>6124.34</v>
      </c>
      <c r="O7" s="18">
        <v>10063.3</v>
      </c>
      <c r="P7" s="18">
        <v>2134.77</v>
      </c>
      <c r="Q7" s="18">
        <v>9832.33</v>
      </c>
      <c r="R7" s="18">
        <v>2449.74</v>
      </c>
      <c r="S7" s="18">
        <v>1308.86</v>
      </c>
    </row>
  </sheetData>
  <mergeCells count="14">
    <mergeCell ref="A1:T1"/>
    <mergeCell ref="B3:D3"/>
    <mergeCell ref="E3:G3"/>
    <mergeCell ref="H3:J3"/>
    <mergeCell ref="A3:A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3.5" outlineLevelCol="1"/>
  <cols>
    <col min="1" max="1" width="18" customWidth="1"/>
    <col min="2" max="2" width="75" customWidth="1"/>
  </cols>
  <sheetData>
    <row r="1" ht="18" spans="1:2">
      <c r="B1" s="7" t="s">
        <v>20</v>
      </c>
    </row>
    <row r="2" ht="18" spans="1:2">
      <c r="B2" s="7" t="s">
        <v>21</v>
      </c>
    </row>
    <row r="3" ht="16.5" spans="1:2">
      <c r="A3" s="8" t="s">
        <v>22</v>
      </c>
      <c r="B3" s="8" t="e">
        <f>订单CSV 商品数量 x 商品金额</f>
        <v>#NAME?</v>
      </c>
    </row>
    <row r="4" ht="16.5" spans="1:2">
      <c r="A4" s="8" t="s">
        <v>3</v>
      </c>
      <c r="B4" s="8" t="e">
        <f ca="1">已关闭订单金额(来源:订单CSV)</f>
        <v>#NAME?</v>
      </c>
    </row>
    <row r="5" ht="16.5" spans="1:2">
      <c r="A5" s="8" t="s">
        <v>4</v>
      </c>
      <c r="B5" s="8" t="e">
        <f>成交额-退款金额(已关闭)</f>
        <v>#NAME?</v>
      </c>
    </row>
    <row r="6" ht="16.5" spans="1:2">
      <c r="A6" s="8" t="s">
        <v>9</v>
      </c>
      <c r="B6" s="8" t="e">
        <f>结算CSV 支出合计(取绝对值)</f>
        <v>#NAME?</v>
      </c>
    </row>
    <row r="7" ht="16.5" spans="1:2">
      <c r="A7" s="8" t="s">
        <v>10</v>
      </c>
      <c r="B7" s="8"/>
    </row>
    <row r="8" ht="16.5" spans="1:2">
      <c r="B8" s="8" t="s">
        <v>23</v>
      </c>
    </row>
    <row r="9" ht="18" spans="1:2">
      <c r="B9" s="7" t="s">
        <v>24</v>
      </c>
    </row>
    <row r="10" ht="16.5" spans="1:2">
      <c r="A10" s="8" t="s">
        <v>5</v>
      </c>
      <c r="B10" s="8"/>
    </row>
    <row r="11" ht="16.5" spans="1:2">
      <c r="A11" s="8" t="s">
        <v>6</v>
      </c>
      <c r="B11" s="8"/>
    </row>
    <row r="12" ht="16.5" spans="1:2">
      <c r="A12" s="8" t="s">
        <v>11</v>
      </c>
      <c r="B12" s="8"/>
    </row>
    <row r="13" ht="16.5" spans="1:2">
      <c r="A13" s="8" t="s">
        <v>7</v>
      </c>
      <c r="B13" s="8"/>
    </row>
    <row r="14" ht="16.5" spans="1:2">
      <c r="A14" s="8" t="s">
        <v>8</v>
      </c>
      <c r="B14" s="8"/>
    </row>
    <row r="15" ht="16.5" spans="1:2">
      <c r="A15" s="8" t="s">
        <v>12</v>
      </c>
      <c r="B15" s="8"/>
    </row>
    <row r="16" ht="16.5" spans="1:2">
      <c r="B16" s="8" t="s">
        <v>23</v>
      </c>
    </row>
    <row r="17" ht="18" spans="1:2">
      <c r="B17" s="7" t="s">
        <v>25</v>
      </c>
    </row>
    <row r="18" ht="16.5" spans="1:2">
      <c r="A18" s="8" t="s">
        <v>13</v>
      </c>
      <c r="B18" s="8" t="e">
        <f>尾款10%+垫付差额-服务费5%-税点2%-平台技术费-动账支出</f>
        <v>#NAME?</v>
      </c>
    </row>
    <row r="19" ht="16.5" spans="1:2">
      <c r="B19" s="8"/>
    </row>
    <row r="20" ht="16.5" spans="1:2">
      <c r="B20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cols>
    <col min="1" max="1" width="22" customWidth="1"/>
    <col min="2" max="5" width="18" customWidth="1"/>
  </cols>
  <sheetData>
    <row r="1" ht="16.5" spans="1: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ht="16.5" spans="1:5">
      <c r="A2" s="2" t="s">
        <v>31</v>
      </c>
      <c r="B2" s="3" t="s">
        <v>32</v>
      </c>
      <c r="C2" s="3" t="s">
        <v>33</v>
      </c>
      <c r="D2" s="3" t="s">
        <v>34</v>
      </c>
      <c r="E2" s="3" t="s">
        <v>35</v>
      </c>
    </row>
    <row r="3" ht="16.5" spans="1:5">
      <c r="A3" s="2" t="s">
        <v>36</v>
      </c>
      <c r="B3" s="4">
        <v>891.36</v>
      </c>
      <c r="C3" s="4">
        <v>54640.77</v>
      </c>
      <c r="D3" s="4">
        <v>109469.79</v>
      </c>
      <c r="E3" s="5">
        <v>165001.92</v>
      </c>
    </row>
    <row r="4" ht="16.5" spans="1:5">
      <c r="A4" s="2" t="s">
        <v>37</v>
      </c>
      <c r="B4" s="6">
        <v>-274.81</v>
      </c>
      <c r="C4" s="6">
        <v>-12588.12</v>
      </c>
      <c r="D4" s="6">
        <v>-29652.18</v>
      </c>
      <c r="E4" s="6">
        <v>-42515.11</v>
      </c>
    </row>
    <row r="5" ht="16.5" spans="1:5">
      <c r="A5" s="2" t="s">
        <v>38</v>
      </c>
      <c r="B5" s="4">
        <v>616.55</v>
      </c>
      <c r="C5" s="4">
        <v>42052.65</v>
      </c>
      <c r="D5" s="4">
        <v>79817.61</v>
      </c>
      <c r="E5" s="5">
        <v>122486.81</v>
      </c>
    </row>
    <row r="6" ht="16.5" spans="1:5">
      <c r="A6" s="2" t="s">
        <v>5</v>
      </c>
      <c r="B6" s="4">
        <v>554.9</v>
      </c>
      <c r="C6" s="4">
        <v>37847.38</v>
      </c>
      <c r="D6" s="4">
        <v>71835.85</v>
      </c>
      <c r="E6" s="5">
        <v>110238.13</v>
      </c>
    </row>
    <row r="7" ht="16.5" spans="1:5">
      <c r="A7" s="3" t="s">
        <v>23</v>
      </c>
    </row>
    <row r="8" ht="16.5" spans="1:5">
      <c r="A8" s="2" t="s">
        <v>7</v>
      </c>
      <c r="B8" s="4">
        <v>61.66</v>
      </c>
      <c r="C8" s="4">
        <v>4205.27</v>
      </c>
      <c r="D8" s="4">
        <v>7981.76</v>
      </c>
      <c r="E8" s="5">
        <v>12248.68</v>
      </c>
    </row>
    <row r="9" ht="16.5" spans="1:5">
      <c r="A9" s="2" t="s">
        <v>8</v>
      </c>
      <c r="B9" s="6">
        <v>-30.83</v>
      </c>
      <c r="C9" s="6">
        <v>-2102.63</v>
      </c>
      <c r="D9" s="6">
        <v>-3990.88</v>
      </c>
      <c r="E9" s="6">
        <v>-6124.34</v>
      </c>
    </row>
    <row r="10" ht="16.5" spans="1:5">
      <c r="A10" s="2" t="s">
        <v>12</v>
      </c>
      <c r="B10" s="6">
        <v>-12.33</v>
      </c>
      <c r="C10" s="6">
        <v>-841.05</v>
      </c>
      <c r="D10" s="6">
        <v>-1596.35</v>
      </c>
      <c r="E10" s="6">
        <v>-2449.74</v>
      </c>
    </row>
    <row r="11" ht="16.5" spans="1:5">
      <c r="A11" s="2" t="s">
        <v>9</v>
      </c>
      <c r="B11" s="6">
        <v>-1044.34</v>
      </c>
      <c r="C11" s="6">
        <v>-4640.62</v>
      </c>
      <c r="D11" s="6">
        <v>-4378.34</v>
      </c>
      <c r="E11" s="6">
        <v>-10063.3</v>
      </c>
    </row>
    <row r="12" ht="16.5" spans="1:5">
      <c r="A12" s="2" t="s">
        <v>10</v>
      </c>
      <c r="B12" s="6">
        <v>-153.6</v>
      </c>
      <c r="C12" s="6">
        <v>-1061.45</v>
      </c>
      <c r="D12" s="6">
        <v>-919.72</v>
      </c>
      <c r="E12" s="6">
        <v>-2134.77</v>
      </c>
    </row>
    <row r="13" ht="16.5" spans="1:5">
      <c r="A13" s="3" t="s">
        <v>23</v>
      </c>
    </row>
    <row r="14" ht="16.5" spans="1:5">
      <c r="A14" s="2" t="s">
        <v>39</v>
      </c>
      <c r="E14" s="5">
        <v>9832.33</v>
      </c>
    </row>
    <row r="15" ht="16.5" spans="1:5">
      <c r="A15" s="2" t="s">
        <v>13</v>
      </c>
      <c r="B15" s="6">
        <v>-1179.44</v>
      </c>
      <c r="C15" s="6">
        <v>-4440.49</v>
      </c>
      <c r="D15" s="6">
        <v>-2903.53</v>
      </c>
      <c r="E15" s="5">
        <v>1308.86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垫资结算汇总</vt:lpstr>
      <vt:lpstr>计算规则</vt:lpstr>
      <vt:lpstr>三店对比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北海北</cp:lastModifiedBy>
  <dcterms:created xsi:type="dcterms:W3CDTF">2026-06-01T15:56:00Z</dcterms:created>
  <dcterms:modified xsi:type="dcterms:W3CDTF">2026-06-01T15:58:59Z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183D35AFBE4047A695F506A1B23F1541_12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